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Ledger" sheetId="1" state="visible" r:id="rId3"/>
    <sheet name="Summary" sheetId="2" state="visible" r:id="rId4"/>
    <sheet name="To confi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<sst xmlns="http://schemas.openxmlformats.org/spreadsheetml/2006/main" count="132" uniqueCount="82">
  <si>
    <t xml:space="preserve">Foundry SMB LLC  -  2026 Tax Accounting Ledger</t>
  </si>
  <si>
    <t xml:space="preserve">Cash basis. Tax year 2026. Amounts in USD, positive. Schedule C lines are suggested defaults; confirm categorization with your tax preparer. Not tax advice.</t>
  </si>
  <si>
    <t xml:space="preserve">Date</t>
  </si>
  <si>
    <t xml:space="preserve">Type</t>
  </si>
  <si>
    <t xml:space="preserve">Payee / source</t>
  </si>
  <si>
    <t xml:space="preserve">Description</t>
  </si>
  <si>
    <t xml:space="preserve">Category</t>
  </si>
  <si>
    <t xml:space="preserve">Sched C line</t>
  </si>
  <si>
    <t xml:space="preserve">Account / funding</t>
  </si>
  <si>
    <t xml:space="preserve">Bus. %</t>
  </si>
  <si>
    <t xml:space="preserve">Amount</t>
  </si>
  <si>
    <t xml:space="preserve">Notes</t>
  </si>
  <si>
    <t xml:space="preserve">2026-06-05</t>
  </si>
  <si>
    <t xml:space="preserve">Income</t>
  </si>
  <si>
    <t xml:space="preserve">Pulse (via Stripe)</t>
  </si>
  <si>
    <t xml:space="preserve">Consulting services</t>
  </si>
  <si>
    <t xml:space="preserve">Consulting income</t>
  </si>
  <si>
    <t xml:space="preserve">Line 1 (gross receipts)</t>
  </si>
  <si>
    <t xml:space="preserve">Mercury savings ::1279</t>
  </si>
  <si>
    <t xml:space="preserve">Founder-confirmed consulting revenue from Pulse; Stripe ACH payout</t>
  </si>
  <si>
    <t xml:space="preserve">2026-05-14</t>
  </si>
  <si>
    <t xml:space="preserve">Expense</t>
  </si>
  <si>
    <t xml:space="preserve">Resend</t>
  </si>
  <si>
    <t xml:space="preserve">Resend Pro, transactional email</t>
  </si>
  <si>
    <t xml:space="preserve">Software &amp; subscriptions</t>
  </si>
  <si>
    <t xml:space="preserve">Line 27a</t>
  </si>
  <si>
    <t xml:space="preserve">(per finance_ledger)</t>
  </si>
  <si>
    <t xml:space="preserve">Monthly</t>
  </si>
  <si>
    <t xml:space="preserve">Google</t>
  </si>
  <si>
    <t xml:space="preserve">Workspace Business Starter</t>
  </si>
  <si>
    <t xml:space="preserve">Monthly, first month</t>
  </si>
  <si>
    <t xml:space="preserve">LinkedIn</t>
  </si>
  <si>
    <t xml:space="preserve">Sales Navigator Core</t>
  </si>
  <si>
    <t xml:space="preserve">Advertising &amp; marketing</t>
  </si>
  <si>
    <t xml:space="preserve">Line 8</t>
  </si>
  <si>
    <t xml:space="preserve">Instantly</t>
  </si>
  <si>
    <t xml:space="preserve">Growth tier</t>
  </si>
  <si>
    <t xml:space="preserve">Mailwarm</t>
  </si>
  <si>
    <t xml:space="preserve">Inbox warmup</t>
  </si>
  <si>
    <t xml:space="preserve">2026-06-09</t>
  </si>
  <si>
    <t xml:space="preserve">Microsoft (via PayPal)</t>
  </si>
  <si>
    <t xml:space="preserve">Microsoft subscription</t>
  </si>
  <si>
    <t xml:space="preserve">PayPal / Mastercard ::7405</t>
  </si>
  <si>
    <t xml:space="preserve">Founder-confirmed business</t>
  </si>
  <si>
    <t xml:space="preserve">2026-06-11</t>
  </si>
  <si>
    <t xml:space="preserve">Anthropic</t>
  </si>
  <si>
    <t xml:space="preserve">Claude / Agent SDK</t>
  </si>
  <si>
    <t xml:space="preserve">Mercury debit ::0521</t>
  </si>
  <si>
    <t xml:space="preserve">Failed Jun 9, settled Jun 11; receipt #2706-0434-9452</t>
  </si>
  <si>
    <t xml:space="preserve">2026-06-13</t>
  </si>
  <si>
    <t xml:space="preserve">HeyGen Technology Inc (via Stripe)</t>
  </si>
  <si>
    <t xml:space="preserve">HeyGen video software ($99.00 + $3.04 tax)</t>
  </si>
  <si>
    <t xml:space="preserve">Stripe (card)</t>
  </si>
  <si>
    <t xml:space="preserve">Newly surfaced this run; confirm</t>
  </si>
  <si>
    <t xml:space="preserve">2026-06-15</t>
  </si>
  <si>
    <t xml:space="preserve">GoDaddy.com (via Klarna)</t>
  </si>
  <si>
    <t xml:space="preserve">Domain / web hosting, foundrysmb.net</t>
  </si>
  <si>
    <t xml:space="preserve">Domain &amp; hosting</t>
  </si>
  <si>
    <t xml:space="preserve">Klarna installment</t>
  </si>
  <si>
    <t xml:space="preserve">Installment 1; next $47.64 due Jul 15</t>
  </si>
  <si>
    <t xml:space="preserve">Total income</t>
  </si>
  <si>
    <t xml:space="preserve">Total expenses</t>
  </si>
  <si>
    <t xml:space="preserve">Net</t>
  </si>
  <si>
    <t xml:space="preserve">2026 Summary</t>
  </si>
  <si>
    <t xml:space="preserve">Total business expenses</t>
  </si>
  <si>
    <t xml:space="preserve">Expenses by category</t>
  </si>
  <si>
    <t xml:space="preserve">Total</t>
  </si>
  <si>
    <t xml:space="preserve">Cash position (for runway)</t>
  </si>
  <si>
    <t xml:space="preserve">Mercury balance, end of May (May digest)</t>
  </si>
  <si>
    <t xml:space="preserve">Note: predates Jun 5 inflow; confirm live Mercury balance for exact runway.</t>
  </si>
  <si>
    <t xml:space="preserve">Observed, not yet classified  -  excluded from totals above</t>
  </si>
  <si>
    <t xml:space="preserve">Account</t>
  </si>
  <si>
    <t xml:space="preserve">Question</t>
  </si>
  <si>
    <t xml:space="preserve">2026-05-29</t>
  </si>
  <si>
    <t xml:space="preserve">Stripe</t>
  </si>
  <si>
    <t xml:space="preserve">ACH payout $0.66</t>
  </si>
  <si>
    <t xml:space="preserve">Stripe micro-deposit/verification or minor consulting? Classify.</t>
  </si>
  <si>
    <t xml:space="preserve">2026-06-06</t>
  </si>
  <si>
    <t xml:space="preserve">AUS Merchant Services (via PayPal)</t>
  </si>
  <si>
    <t xml:space="preserve">PayPal payment $69.58</t>
  </si>
  <si>
    <t xml:space="preserve">PayPal</t>
  </si>
  <si>
    <t xml:space="preserve">Appears personal/foreign; business or personal?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</si>
</sst>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328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32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328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5" t="n">
        <v>1</v>
      </c>
      <c r="I5" s="6" t="n">
        <v>309.84</v>
      </c>
      <c r="J5" s="7" t="s">
        <v>19</v>
      </c>
    </row>
    <row r="6" customFormat="false" ht="15" hidden="false" customHeight="fals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5" t="n">
        <v>1</v>
      </c>
      <c r="I6" s="6" t="n">
        <v>20</v>
      </c>
      <c r="J6" s="7" t="s">
        <v>27</v>
      </c>
    </row>
    <row r="7" customFormat="false" ht="15" hidden="false" customHeight="false" outlineLevel="0" collapsed="false">
      <c r="A7" s="4" t="s">
        <v>20</v>
      </c>
      <c r="B7" s="4" t="s">
        <v>21</v>
      </c>
      <c r="C7" s="4" t="s">
        <v>28</v>
      </c>
      <c r="D7" s="4" t="s">
        <v>29</v>
      </c>
      <c r="E7" s="4" t="s">
        <v>24</v>
      </c>
      <c r="F7" s="4" t="s">
        <v>25</v>
      </c>
      <c r="G7" s="4" t="s">
        <v>26</v>
      </c>
      <c r="H7" s="5" t="n">
        <v>1</v>
      </c>
      <c r="I7" s="6" t="n">
        <v>7</v>
      </c>
      <c r="J7" s="7" t="s">
        <v>30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26</v>
      </c>
      <c r="H8" s="5" t="n">
        <v>1</v>
      </c>
      <c r="I8" s="6" t="n">
        <v>99</v>
      </c>
      <c r="J8" s="7" t="s">
        <v>27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35</v>
      </c>
      <c r="D9" s="4" t="s">
        <v>36</v>
      </c>
      <c r="E9" s="4" t="s">
        <v>33</v>
      </c>
      <c r="F9" s="4" t="s">
        <v>34</v>
      </c>
      <c r="G9" s="4" t="s">
        <v>26</v>
      </c>
      <c r="H9" s="5" t="n">
        <v>1</v>
      </c>
      <c r="I9" s="6" t="n">
        <v>37</v>
      </c>
      <c r="J9" s="7" t="s">
        <v>27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37</v>
      </c>
      <c r="D10" s="4" t="s">
        <v>38</v>
      </c>
      <c r="E10" s="4" t="s">
        <v>33</v>
      </c>
      <c r="F10" s="4" t="s">
        <v>34</v>
      </c>
      <c r="G10" s="4" t="s">
        <v>26</v>
      </c>
      <c r="H10" s="5" t="n">
        <v>1</v>
      </c>
      <c r="I10" s="6" t="n">
        <v>20</v>
      </c>
      <c r="J10" s="7" t="s">
        <v>27</v>
      </c>
    </row>
    <row r="11" customFormat="false" ht="15" hidden="false" customHeight="false" outlineLevel="0" collapsed="false">
      <c r="A11" s="4" t="s">
        <v>39</v>
      </c>
      <c r="B11" s="4" t="s">
        <v>21</v>
      </c>
      <c r="C11" s="4" t="s">
        <v>40</v>
      </c>
      <c r="D11" s="4" t="s">
        <v>41</v>
      </c>
      <c r="E11" s="4" t="s">
        <v>24</v>
      </c>
      <c r="F11" s="4" t="s">
        <v>25</v>
      </c>
      <c r="G11" s="4" t="s">
        <v>42</v>
      </c>
      <c r="H11" s="5" t="n">
        <v>1</v>
      </c>
      <c r="I11" s="6" t="n">
        <v>8.47</v>
      </c>
      <c r="J11" s="7" t="s">
        <v>43</v>
      </c>
    </row>
    <row r="12" customFormat="false" ht="23.85" hidden="false" customHeight="false" outlineLevel="0" collapsed="false">
      <c r="A12" s="4" t="s">
        <v>44</v>
      </c>
      <c r="B12" s="4" t="s">
        <v>21</v>
      </c>
      <c r="C12" s="4" t="s">
        <v>45</v>
      </c>
      <c r="D12" s="4" t="s">
        <v>46</v>
      </c>
      <c r="E12" s="4" t="s">
        <v>24</v>
      </c>
      <c r="F12" s="4" t="s">
        <v>25</v>
      </c>
      <c r="G12" s="4" t="s">
        <v>47</v>
      </c>
      <c r="H12" s="5" t="n">
        <v>1</v>
      </c>
      <c r="I12" s="6" t="n">
        <v>103.07</v>
      </c>
      <c r="J12" s="7" t="s">
        <v>48</v>
      </c>
    </row>
    <row r="13" customFormat="false" ht="15" hidden="false" customHeight="false" outlineLevel="0" collapsed="false">
      <c r="A13" s="4" t="s">
        <v>44</v>
      </c>
      <c r="B13" s="4" t="s">
        <v>21</v>
      </c>
      <c r="C13" s="4" t="s">
        <v>40</v>
      </c>
      <c r="D13" s="4" t="s">
        <v>41</v>
      </c>
      <c r="E13" s="4" t="s">
        <v>24</v>
      </c>
      <c r="F13" s="4" t="s">
        <v>25</v>
      </c>
      <c r="G13" s="4" t="s">
        <v>42</v>
      </c>
      <c r="H13" s="5" t="n">
        <v>1</v>
      </c>
      <c r="I13" s="6" t="n">
        <v>99.99</v>
      </c>
      <c r="J13" s="7" t="s">
        <v>43</v>
      </c>
    </row>
    <row r="14" customFormat="false" ht="15" hidden="false" customHeight="false" outlineLevel="0" collapsed="false">
      <c r="A14" s="4" t="s">
        <v>49</v>
      </c>
      <c r="B14" s="4" t="s">
        <v>21</v>
      </c>
      <c r="C14" s="4" t="s">
        <v>50</v>
      </c>
      <c r="D14" s="4" t="s">
        <v>51</v>
      </c>
      <c r="E14" s="4" t="s">
        <v>24</v>
      </c>
      <c r="F14" s="4" t="s">
        <v>25</v>
      </c>
      <c r="G14" s="4" t="s">
        <v>52</v>
      </c>
      <c r="H14" s="5" t="n">
        <v>1</v>
      </c>
      <c r="I14" s="6" t="n">
        <v>102.04</v>
      </c>
      <c r="J14" s="7" t="s">
        <v>53</v>
      </c>
    </row>
    <row r="15" customFormat="false" ht="15" hidden="false" customHeight="false" outlineLevel="0" collapsed="false">
      <c r="A15" s="4" t="s">
        <v>54</v>
      </c>
      <c r="B15" s="4" t="s">
        <v>21</v>
      </c>
      <c r="C15" s="4" t="s">
        <v>55</v>
      </c>
      <c r="D15" s="4" t="s">
        <v>56</v>
      </c>
      <c r="E15" s="4" t="s">
        <v>57</v>
      </c>
      <c r="F15" s="4" t="s">
        <v>25</v>
      </c>
      <c r="G15" s="4" t="s">
        <v>58</v>
      </c>
      <c r="H15" s="5" t="n">
        <v>1</v>
      </c>
      <c r="I15" s="6" t="n">
        <v>47.64</v>
      </c>
      <c r="J15" s="7" t="s">
        <v>59</v>
      </c>
    </row>
    <row r="17" customFormat="false" ht="15" hidden="false" customHeight="false" outlineLevel="0" collapsed="false">
      <c r="H17" s="8" t="s">
        <v>60</v>
      </c>
      <c r="I17" s="9" t="n">
        <f aca="false">SUMIF($B$5:$B$15,"Income",$I$5:$I$15)</f>
        <v>309.84</v>
      </c>
    </row>
    <row r="18" customFormat="false" ht="15" hidden="false" customHeight="false" outlineLevel="0" collapsed="false">
      <c r="H18" s="8" t="s">
        <v>61</v>
      </c>
      <c r="I18" s="9" t="n">
        <f aca="false">SUMIF($B$5:$B$15,"Expense",$I$5:$I$15)</f>
        <v>544.21</v>
      </c>
    </row>
    <row r="19" customFormat="false" ht="15" hidden="false" customHeight="false" outlineLevel="0" collapsed="false">
      <c r="H19" s="8" t="s">
        <v>62</v>
      </c>
      <c r="I19" s="10" t="n">
        <f aca="false">I17-I18</f>
        <v>-234.37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63</v>
      </c>
      <c r="B1" s="1"/>
      <c r="C1" s="1"/>
    </row>
    <row r="3" customFormat="false" ht="15" hidden="false" customHeight="false" outlineLevel="0" collapsed="false">
      <c r="A3" s="8" t="s">
        <v>60</v>
      </c>
      <c r="B3" s="11" t="n">
        <f aca="false">SUMIF('2026 Ledger'!B:B,"Income",'2026 Ledger'!I:I)</f>
        <v>309.84</v>
      </c>
    </row>
    <row r="4" customFormat="false" ht="15" hidden="false" customHeight="false" outlineLevel="0" collapsed="false">
      <c r="A4" s="8" t="s">
        <v>64</v>
      </c>
      <c r="B4" s="11" t="n">
        <f aca="false">SUMIF('2026 Ledger'!B:B,"Expense",'2026 Ledger'!I:I)</f>
        <v>544.21</v>
      </c>
    </row>
    <row r="5" customFormat="false" ht="15" hidden="false" customHeight="false" outlineLevel="0" collapsed="false">
      <c r="A5" s="8" t="s">
        <v>62</v>
      </c>
      <c r="B5" s="11" t="n">
        <f aca="false">B3-B4</f>
        <v>-234.37</v>
      </c>
    </row>
    <row r="7" customFormat="false" ht="15" hidden="false" customHeight="false" outlineLevel="0" collapsed="false">
      <c r="A7" s="8" t="s">
        <v>65</v>
      </c>
    </row>
    <row r="8" customFormat="false" ht="15" hidden="false" customHeight="false" outlineLevel="0" collapsed="false">
      <c r="A8" s="12" t="s">
        <v>24</v>
      </c>
      <c r="B8" s="11" t="n">
        <f aca="false">SUMIFS('2026 Ledger'!I:I,'2026 Ledger'!B:B,"Expense",'2026 Ledger'!E:E,"Software &amp; subscriptions")</f>
        <v>340.57</v>
      </c>
    </row>
    <row r="9" customFormat="false" ht="15" hidden="false" customHeight="false" outlineLevel="0" collapsed="false">
      <c r="A9" s="12" t="s">
        <v>33</v>
      </c>
      <c r="B9" s="11" t="n">
        <f aca="false">SUMIFS('2026 Ledger'!I:I,'2026 Ledger'!B:B,"Expense",'2026 Ledger'!E:E,"Advertising &amp; marketing")</f>
        <v>156</v>
      </c>
    </row>
    <row r="10" customFormat="false" ht="15" hidden="false" customHeight="false" outlineLevel="0" collapsed="false">
      <c r="A10" s="12" t="s">
        <v>57</v>
      </c>
      <c r="B10" s="11" t="n">
        <f aca="false">SUMIFS('2026 Ledger'!I:I,'2026 Ledger'!B:B,"Expense",'2026 Ledger'!E:E,"Domain &amp; hosting")</f>
        <v>47.64</v>
      </c>
    </row>
    <row r="11" customFormat="false" ht="15" hidden="false" customHeight="false" outlineLevel="0" collapsed="false">
      <c r="A11" s="8" t="s">
        <v>66</v>
      </c>
      <c r="B11" s="11" t="n">
        <f aca="false">SUM(B8:B10)</f>
        <v>544.21</v>
      </c>
    </row>
    <row r="13" customFormat="false" ht="15" hidden="false" customHeight="false" outlineLevel="0" collapsed="false">
      <c r="A13" s="8" t="s">
        <v>67</v>
      </c>
    </row>
    <row r="14" customFormat="false" ht="15" hidden="false" customHeight="false" outlineLevel="0" collapsed="false">
      <c r="A14" s="12" t="s">
        <v>68</v>
      </c>
      <c r="B14" s="13" t="n">
        <v>602.64</v>
      </c>
    </row>
    <row r="15" customFormat="false" ht="15" hidden="false" customHeight="false" outlineLevel="0" collapsed="false">
      <c r="A15" s="14" t="s">
        <v>69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5" t="s">
        <v>70</v>
      </c>
      <c r="B1" s="15"/>
      <c r="C1" s="15"/>
      <c r="D1" s="15"/>
      <c r="E1" s="15"/>
      <c r="F1" s="15"/>
    </row>
    <row r="3" customFormat="false" ht="15" hidden="false" customHeight="false" outlineLevel="0" collapsed="false">
      <c r="A3" s="16" t="s">
        <v>2</v>
      </c>
      <c r="B3" s="16" t="s">
        <v>4</v>
      </c>
      <c r="C3" s="16" t="s">
        <v>5</v>
      </c>
      <c r="D3" s="16" t="s">
        <v>71</v>
      </c>
      <c r="E3" s="16" t="s">
        <v>10</v>
      </c>
      <c r="F3" s="16" t="s">
        <v>72</v>
      </c>
    </row>
    <row r="4" customFormat="false" ht="23.85" hidden="false" customHeight="false" outlineLevel="0" collapsed="false">
      <c r="A4" s="17" t="s">
        <v>73</v>
      </c>
      <c r="B4" s="17" t="s">
        <v>74</v>
      </c>
      <c r="C4" s="17" t="s">
        <v>75</v>
      </c>
      <c r="D4" s="17" t="s">
        <v>18</v>
      </c>
      <c r="E4" s="18" t="n">
        <v>0.66</v>
      </c>
      <c r="F4" s="17" t="s">
        <v>76</v>
      </c>
    </row>
    <row r="5" customFormat="false" ht="15" hidden="false" customHeight="false" outlineLevel="0" collapsed="false">
      <c r="A5" s="17" t="s">
        <v>77</v>
      </c>
      <c r="B5" s="17" t="s">
        <v>78</v>
      </c>
      <c r="C5" s="17" t="s">
        <v>79</v>
      </c>
      <c r="D5" s="17" t="s">
        <v>80</v>
      </c>
      <c r="E5" s="18" t="n">
        <v>69.58</v>
      </c>
      <c r="F5" s="17" t="s">
        <v>81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2026-06-17T13:44:51Z</dcterms:created>
  <dc:creator>openpyxl</dc:creator>
  <dc:description/>
  <dc:language>en-US</dc:language>
  <cp:lastModifiedBy/>
  <dcterms:modified xsi:type="dcterms:W3CDTF">2026-06-17T13:44:51Z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